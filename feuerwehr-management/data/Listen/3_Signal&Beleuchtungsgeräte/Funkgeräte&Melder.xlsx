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378" documentId="11_92483E2D04E89AD36523F29B863E8C1851038389" xr6:coauthVersionLast="47" xr6:coauthVersionMax="47" xr10:uidLastSave="{B64899FD-FA19-4E11-B04B-8CAC269AEF23}"/>
  <bookViews>
    <workbookView xWindow="240" yWindow="105" windowWidth="14805" windowHeight="8010" firstSheet="7" activeTab="8" xr2:uid="{00000000-000D-0000-FFFF-FFFF00000000}"/>
  </bookViews>
  <sheets>
    <sheet name="Handfunkgerät 1" sheetId="5" r:id="rId1"/>
    <sheet name="Handfunkgerät 2" sheetId="7" r:id="rId2"/>
    <sheet name="Handfunkgerät 3" sheetId="8" r:id="rId3"/>
    <sheet name="Handfunkgerät 4" sheetId="9" r:id="rId4"/>
    <sheet name="Handfunkgerät 5" sheetId="10" r:id="rId5"/>
    <sheet name="Handfunkgerät 6" sheetId="11" r:id="rId6"/>
    <sheet name="Digitalfunkgerät 1" sheetId="12" r:id="rId7"/>
    <sheet name="Digitalfunkgerät 2" sheetId="13" r:id="rId8"/>
    <sheet name="Meldeempfänger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3" i="6"/>
</calcChain>
</file>

<file path=xl/sharedStrings.xml><?xml version="1.0" encoding="utf-8"?>
<sst xmlns="http://schemas.openxmlformats.org/spreadsheetml/2006/main" count="1809" uniqueCount="134">
  <si>
    <t>Handfunkgerät 1</t>
  </si>
  <si>
    <r>
      <t>Prüffristen</t>
    </r>
    <r>
      <rPr>
        <sz val="12"/>
        <rFont val="Times New Roman"/>
        <charset val="1"/>
      </rPr>
      <t> </t>
    </r>
  </si>
  <si>
    <t>Geräte-Nr. : 1</t>
  </si>
  <si>
    <r>
      <t>Herstellungsdatum:</t>
    </r>
    <r>
      <rPr>
        <sz val="11.5"/>
        <rFont val="Times New Roman"/>
        <charset val="1"/>
      </rPr>
      <t> </t>
    </r>
  </si>
  <si>
    <t>nach jedem Gebrauch/jährlich</t>
  </si>
  <si>
    <r>
      <t>Zuweisungsdatum:</t>
    </r>
    <r>
      <rPr>
        <sz val="11.5"/>
        <rFont val="Times New Roman"/>
        <charset val="1"/>
      </rPr>
      <t> </t>
    </r>
  </si>
  <si>
    <t>Wartung durch Funkwerkstatt</t>
  </si>
  <si>
    <t>Art: TK-290</t>
  </si>
  <si>
    <t>Typ: 11b</t>
  </si>
  <si>
    <t> </t>
  </si>
  <si>
    <t>Hersteller: Kenwood</t>
  </si>
  <si>
    <t>Seriennummer: B5C00044</t>
  </si>
  <si>
    <t>Inventarnummer: 19769</t>
  </si>
  <si>
    <t xml:space="preserve">Vorschriften: 
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</si>
  <si>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</si>
  <si>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</si>
  <si>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</si>
  <si>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</si>
  <si>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Antenne</t>
  </si>
  <si>
    <t>k.B.</t>
  </si>
  <si>
    <t>i.o.</t>
  </si>
  <si>
    <t>Mikrofon/Lautsprechergarnitur</t>
  </si>
  <si>
    <t>Kanalwahlsdrehschalter</t>
  </si>
  <si>
    <t>Ein/Aus-Lautstärkeregler</t>
  </si>
  <si>
    <t>Verriegelung Kanalwahldrehschalter</t>
  </si>
  <si>
    <t>Display</t>
  </si>
  <si>
    <t>Befund </t>
  </si>
  <si>
    <t>Zur Instandsetzung abgegeben </t>
  </si>
  <si>
    <t>Unterschrift des Sachkundigen </t>
  </si>
  <si>
    <t>sedo</t>
  </si>
  <si>
    <t>maju</t>
  </si>
  <si>
    <t>topo</t>
  </si>
  <si>
    <t>Handfunkgerät 2</t>
  </si>
  <si>
    <t>Geräte-Nr. : 2</t>
  </si>
  <si>
    <t>Seriennummer: B5C00049</t>
  </si>
  <si>
    <t>Inventarnummer: 19770</t>
  </si>
  <si>
    <t>Handfunkgerät 3</t>
  </si>
  <si>
    <t>Geräte-Nr. : 3</t>
  </si>
  <si>
    <t>Seriennummer: B5A00136</t>
  </si>
  <si>
    <t>Inventarnummer: 19771</t>
  </si>
  <si>
    <t>Handfunkgerät 4</t>
  </si>
  <si>
    <t>Geräte-Nr. : 4</t>
  </si>
  <si>
    <t>Seriennummer: B7900106</t>
  </si>
  <si>
    <t>Inventarnummer: 20470</t>
  </si>
  <si>
    <t>Handfunkgerät 5</t>
  </si>
  <si>
    <t>Geräte-Nr. : 5</t>
  </si>
  <si>
    <t>Handfunkgerät 6</t>
  </si>
  <si>
    <t>Geräte-Nr. : 6</t>
  </si>
  <si>
    <t>Digitalfunkgerät 1</t>
  </si>
  <si>
    <t>Geräte-Nr. : 7</t>
  </si>
  <si>
    <t>Art: MRT</t>
  </si>
  <si>
    <t>Typ: HBC2</t>
  </si>
  <si>
    <t>Hersteller: Sepura</t>
  </si>
  <si>
    <t>Seriennummer: 2PN101035G792R6</t>
  </si>
  <si>
    <t>Inventarnummer: 19975</t>
  </si>
  <si>
    <t>Digitalfunkgerät 2</t>
  </si>
  <si>
    <t>Geräte-Nr. : 8</t>
  </si>
  <si>
    <t>Art: HRT</t>
  </si>
  <si>
    <t>Typ: STP 9000</t>
  </si>
  <si>
    <t>Seriennummer: 1PR701433G8D9CS</t>
  </si>
  <si>
    <t>Inventarnummer: 20031</t>
  </si>
  <si>
    <t>Nummer</t>
  </si>
  <si>
    <t>Name</t>
  </si>
  <si>
    <t>Vorname</t>
  </si>
  <si>
    <t>Typ</t>
  </si>
  <si>
    <t>Seriennummer</t>
  </si>
  <si>
    <t>Hersteller</t>
  </si>
  <si>
    <t>Schleife</t>
  </si>
  <si>
    <t>Lukosek</t>
  </si>
  <si>
    <t>Lucas</t>
  </si>
  <si>
    <t>BOSS 915V</t>
  </si>
  <si>
    <t>C201819.05602</t>
  </si>
  <si>
    <t>Swissphone</t>
  </si>
  <si>
    <t>VA</t>
  </si>
  <si>
    <t>Pörtner</t>
  </si>
  <si>
    <t>Philipp</t>
  </si>
  <si>
    <t>C201605.01452</t>
  </si>
  <si>
    <t>Jochum</t>
  </si>
  <si>
    <t>Andreas</t>
  </si>
  <si>
    <t>C201319.01984</t>
  </si>
  <si>
    <t>Kurz</t>
  </si>
  <si>
    <t>Sascha</t>
  </si>
  <si>
    <t>C201923.06966</t>
  </si>
  <si>
    <t>Renger</t>
  </si>
  <si>
    <t>Till</t>
  </si>
  <si>
    <t>C201923.06900</t>
  </si>
  <si>
    <t>Spurk</t>
  </si>
  <si>
    <t>Nicklas</t>
  </si>
  <si>
    <t>C201923.06942</t>
  </si>
  <si>
    <t>Wunn</t>
  </si>
  <si>
    <t>Dominik</t>
  </si>
  <si>
    <t>C201731.01237</t>
  </si>
  <si>
    <t>Jung</t>
  </si>
  <si>
    <t>Markus</t>
  </si>
  <si>
    <t>C201731.01253</t>
  </si>
  <si>
    <t>Torsten</t>
  </si>
  <si>
    <t>C201731.01258</t>
  </si>
  <si>
    <t>Poitiers</t>
  </si>
  <si>
    <t>C201923.06989</t>
  </si>
  <si>
    <t>Fahrenkamp</t>
  </si>
  <si>
    <t xml:space="preserve">Sven	</t>
  </si>
  <si>
    <t>C201923.06988</t>
  </si>
  <si>
    <t>Sahner</t>
  </si>
  <si>
    <t>Robert</t>
  </si>
  <si>
    <t>C201923.06910</t>
  </si>
  <si>
    <t>VA/LBF</t>
  </si>
  <si>
    <t>Schilke</t>
  </si>
  <si>
    <t>Frank</t>
  </si>
  <si>
    <t>C201923.06983</t>
  </si>
  <si>
    <t>Altpeter</t>
  </si>
  <si>
    <t>Wilfried</t>
  </si>
  <si>
    <t>C201923.06936</t>
  </si>
  <si>
    <t>Scheidt</t>
  </si>
  <si>
    <t>C201923.06984</t>
  </si>
  <si>
    <t>Meiser</t>
  </si>
  <si>
    <t>Sebastian</t>
  </si>
  <si>
    <t>C201923.06914</t>
  </si>
  <si>
    <t>Margardt</t>
  </si>
  <si>
    <t>Ulf</t>
  </si>
  <si>
    <t>C201923.06890</t>
  </si>
  <si>
    <t>Grünnagel</t>
  </si>
  <si>
    <t>C201923.06891</t>
  </si>
  <si>
    <t>Valela</t>
  </si>
  <si>
    <t>Justin</t>
  </si>
  <si>
    <t>C201923.06892</t>
  </si>
  <si>
    <t>Felix</t>
  </si>
  <si>
    <t>C201923.06905</t>
  </si>
  <si>
    <t>Burg</t>
  </si>
  <si>
    <t>Pascal</t>
  </si>
  <si>
    <t>C201923.06969</t>
  </si>
  <si>
    <t>Tim</t>
  </si>
  <si>
    <t>C201819.05606</t>
  </si>
  <si>
    <t>Wagner</t>
  </si>
  <si>
    <t>C201819.05607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</si>
</sst>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15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0" fontId="13" fillId="2" borderId="16" xfId="0" applyFont="1" applyFill="1" applyBorder="1"/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164" fontId="2" fillId="0" borderId="2" xfId="0" applyNumberFormat="1" applyFont="1" applyBorder="1"/>
    <xf numFmtId="164" fontId="2" fillId="0" borderId="8" xfId="0" applyNumberFormat="1" applyFont="1" applyBorder="1"/>
    <xf numFmtId="49" fontId="14" fillId="0" borderId="0" xfId="0" applyNumberFormat="1" applyFont="1" applyAlignment="1">
      <alignment horizontal="left" vertical="center" readingOrder="1"/>
    </xf>
    <xf numFmtId="0" fontId="2" fillId="0" borderId="0" xfId="0" quotePrefix="1" applyFont="1" applyAlignment="1">
      <alignment horizontal="left"/>
    </xf>
    <xf numFmtId="0" fontId="3" fillId="0" borderId="1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workbookViewId="0">
      <selection activeCell="H22" sqref="H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0</v>
      </c>
      <c r="B1" s="39"/>
      <c r="C1" s="35" t="s">
        <v>1</v>
      </c>
      <c r="D1" s="35"/>
      <c r="E1" s="35"/>
      <c r="F1" s="35"/>
      <c r="G1" s="36" t="s">
        <v>2</v>
      </c>
      <c r="H1" s="35"/>
      <c r="I1" s="35"/>
      <c r="J1" s="37"/>
    </row>
    <row r="2" spans="1:14" ht="15.75">
      <c r="A2" s="19" t="s">
        <v>3</v>
      </c>
      <c r="B2" s="17">
        <v>2016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2016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7</v>
      </c>
      <c r="B4" s="41"/>
      <c r="C4" s="31"/>
      <c r="D4" s="31"/>
      <c r="E4" s="31"/>
      <c r="F4" s="31"/>
      <c r="J4" s="20"/>
    </row>
    <row r="5" spans="1:14" ht="15.75">
      <c r="A5" s="40" t="s">
        <v>8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10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11</v>
      </c>
      <c r="B7" s="43"/>
      <c r="C7" s="32" t="s">
        <v>12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13A0-3C56-4093-AF92-8330B36EF3E0}">
  <dimension ref="A1:N22"/>
  <sheetViews>
    <sheetView workbookViewId="0">
      <selection activeCell="C8" sqref="C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32</v>
      </c>
      <c r="B1" s="39"/>
      <c r="C1" s="35" t="s">
        <v>1</v>
      </c>
      <c r="D1" s="35"/>
      <c r="E1" s="35"/>
      <c r="F1" s="35"/>
      <c r="G1" s="36" t="s">
        <v>33</v>
      </c>
      <c r="H1" s="35"/>
      <c r="I1" s="35"/>
      <c r="J1" s="37"/>
    </row>
    <row r="2" spans="1:14" ht="15.75">
      <c r="A2" s="19" t="s">
        <v>3</v>
      </c>
      <c r="B2" s="17">
        <v>2016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2016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7</v>
      </c>
      <c r="B4" s="41"/>
      <c r="C4" s="31"/>
      <c r="D4" s="31"/>
      <c r="E4" s="31"/>
      <c r="F4" s="31"/>
      <c r="J4" s="20"/>
    </row>
    <row r="5" spans="1:14" ht="15.75">
      <c r="A5" s="40" t="s">
        <v>8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10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34</v>
      </c>
      <c r="B7" s="43"/>
      <c r="C7" s="32" t="s">
        <v>35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03E9-A020-4E13-B1E1-EB32A1616969}">
  <dimension ref="A1:N22"/>
  <sheetViews>
    <sheetView workbookViewId="0">
      <selection activeCell="C8" sqref="C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36</v>
      </c>
      <c r="B1" s="39"/>
      <c r="C1" s="35" t="s">
        <v>1</v>
      </c>
      <c r="D1" s="35"/>
      <c r="E1" s="35"/>
      <c r="F1" s="35"/>
      <c r="G1" s="36" t="s">
        <v>37</v>
      </c>
      <c r="H1" s="35"/>
      <c r="I1" s="35"/>
      <c r="J1" s="37"/>
    </row>
    <row r="2" spans="1:14" ht="15.75">
      <c r="A2" s="19" t="s">
        <v>3</v>
      </c>
      <c r="B2" s="17">
        <v>2016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2016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7</v>
      </c>
      <c r="B4" s="41"/>
      <c r="C4" s="31"/>
      <c r="D4" s="31"/>
      <c r="E4" s="31"/>
      <c r="F4" s="31"/>
      <c r="J4" s="20"/>
    </row>
    <row r="5" spans="1:14" ht="15.75">
      <c r="A5" s="40" t="s">
        <v>8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10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38</v>
      </c>
      <c r="B7" s="43"/>
      <c r="C7" s="32" t="s">
        <v>39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55E9-C755-404E-A25B-24694E82A9FD}">
  <dimension ref="A1:N22"/>
  <sheetViews>
    <sheetView workbookViewId="0">
      <selection activeCell="C8" sqref="C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40</v>
      </c>
      <c r="B1" s="39"/>
      <c r="C1" s="35" t="s">
        <v>1</v>
      </c>
      <c r="D1" s="35"/>
      <c r="E1" s="35"/>
      <c r="F1" s="35"/>
      <c r="G1" s="36" t="s">
        <v>41</v>
      </c>
      <c r="H1" s="35"/>
      <c r="I1" s="35"/>
      <c r="J1" s="37"/>
    </row>
    <row r="2" spans="1:14" ht="15.75">
      <c r="A2" s="19" t="s">
        <v>3</v>
      </c>
      <c r="B2" s="17">
        <v>2017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2017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7</v>
      </c>
      <c r="B4" s="41"/>
      <c r="C4" s="31"/>
      <c r="D4" s="31"/>
      <c r="E4" s="31"/>
      <c r="F4" s="31"/>
      <c r="J4" s="20"/>
    </row>
    <row r="5" spans="1:14" ht="15.75">
      <c r="A5" s="40" t="s">
        <v>8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10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42</v>
      </c>
      <c r="B7" s="43"/>
      <c r="C7" s="32" t="s">
        <v>43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F9CF-6F3C-462A-8875-D74AFA857F15}">
  <dimension ref="A1:N22"/>
  <sheetViews>
    <sheetView workbookViewId="0">
      <selection activeCell="H8" sqref="H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44</v>
      </c>
      <c r="B1" s="39"/>
      <c r="C1" s="35" t="s">
        <v>1</v>
      </c>
      <c r="D1" s="35"/>
      <c r="E1" s="35"/>
      <c r="F1" s="35"/>
      <c r="G1" s="36" t="s">
        <v>45</v>
      </c>
      <c r="H1" s="35"/>
      <c r="I1" s="35"/>
      <c r="J1" s="37"/>
    </row>
    <row r="2" spans="1:14" ht="15.75">
      <c r="A2" s="19" t="s">
        <v>3</v>
      </c>
      <c r="B2" s="17">
        <v>2017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2017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7</v>
      </c>
      <c r="B4" s="41"/>
      <c r="C4" s="31"/>
      <c r="D4" s="31"/>
      <c r="E4" s="31"/>
      <c r="F4" s="31"/>
      <c r="J4" s="20"/>
    </row>
    <row r="5" spans="1:14" ht="15.75">
      <c r="A5" s="40" t="s">
        <v>8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10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42</v>
      </c>
      <c r="B7" s="43"/>
      <c r="C7" s="32" t="s">
        <v>43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5C41-AC31-4B4A-87EC-17A76D753664}">
  <dimension ref="A1:N22"/>
  <sheetViews>
    <sheetView workbookViewId="0">
      <selection activeCell="G2" sqref="G2:J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46</v>
      </c>
      <c r="B1" s="39"/>
      <c r="C1" s="35" t="s">
        <v>1</v>
      </c>
      <c r="D1" s="35"/>
      <c r="E1" s="35"/>
      <c r="F1" s="35"/>
      <c r="G1" s="36" t="s">
        <v>47</v>
      </c>
      <c r="H1" s="35"/>
      <c r="I1" s="35"/>
      <c r="J1" s="37"/>
    </row>
    <row r="2" spans="1:14" ht="15.75">
      <c r="A2" s="19" t="s">
        <v>3</v>
      </c>
      <c r="B2" s="17">
        <v>2017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2017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7</v>
      </c>
      <c r="B4" s="41"/>
      <c r="C4" s="31"/>
      <c r="D4" s="31"/>
      <c r="E4" s="31"/>
      <c r="F4" s="31"/>
      <c r="J4" s="20"/>
    </row>
    <row r="5" spans="1:14" ht="15.75">
      <c r="A5" s="40" t="s">
        <v>8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10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42</v>
      </c>
      <c r="B7" s="43"/>
      <c r="C7" s="32" t="s">
        <v>43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FA3B-6FD6-4C78-9A06-6BB843E53538}">
  <dimension ref="A1:N22"/>
  <sheetViews>
    <sheetView workbookViewId="0">
      <selection activeCell="G8" sqref="G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48</v>
      </c>
      <c r="B1" s="39"/>
      <c r="C1" s="35" t="s">
        <v>1</v>
      </c>
      <c r="D1" s="35"/>
      <c r="E1" s="35"/>
      <c r="F1" s="35"/>
      <c r="G1" s="36" t="s">
        <v>49</v>
      </c>
      <c r="H1" s="35"/>
      <c r="I1" s="35"/>
      <c r="J1" s="37"/>
    </row>
    <row r="2" spans="1:14" ht="15.75">
      <c r="A2" s="19" t="s">
        <v>3</v>
      </c>
      <c r="B2" s="17">
        <v>2015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2015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50</v>
      </c>
      <c r="B4" s="41"/>
      <c r="C4" s="31"/>
      <c r="D4" s="31"/>
      <c r="E4" s="31"/>
      <c r="F4" s="31"/>
      <c r="J4" s="20"/>
    </row>
    <row r="5" spans="1:14" ht="15.75">
      <c r="A5" s="40" t="s">
        <v>51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52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53</v>
      </c>
      <c r="B7" s="43"/>
      <c r="C7" s="32" t="s">
        <v>54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836A-78B3-4A29-B6CF-5DE21435618A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8" t="s">
        <v>55</v>
      </c>
      <c r="B1" s="39"/>
      <c r="C1" s="35" t="s">
        <v>1</v>
      </c>
      <c r="D1" s="35"/>
      <c r="E1" s="35"/>
      <c r="F1" s="35"/>
      <c r="G1" s="36" t="s">
        <v>56</v>
      </c>
      <c r="H1" s="35"/>
      <c r="I1" s="35"/>
      <c r="J1" s="37"/>
    </row>
    <row r="2" spans="1:14" ht="15.75">
      <c r="A2" s="19" t="s">
        <v>3</v>
      </c>
      <c r="B2" s="17">
        <v>2015</v>
      </c>
      <c r="C2" s="31" t="s">
        <v>4</v>
      </c>
      <c r="D2" s="31"/>
      <c r="E2" s="31"/>
      <c r="F2" s="31"/>
      <c r="G2" s="33"/>
      <c r="H2" s="33"/>
      <c r="I2" s="33"/>
      <c r="J2" s="34"/>
    </row>
    <row r="3" spans="1:14" ht="15.75">
      <c r="A3" s="19" t="s">
        <v>5</v>
      </c>
      <c r="B3" s="18">
        <v>2015</v>
      </c>
      <c r="C3" s="31" t="s">
        <v>6</v>
      </c>
      <c r="D3" s="31"/>
      <c r="E3" s="31"/>
      <c r="F3" s="31"/>
      <c r="G3" s="33"/>
      <c r="H3" s="33"/>
      <c r="I3" s="33"/>
      <c r="J3" s="34"/>
    </row>
    <row r="4" spans="1:14" ht="15.75">
      <c r="A4" s="40" t="s">
        <v>57</v>
      </c>
      <c r="B4" s="41"/>
      <c r="C4" s="31"/>
      <c r="D4" s="31"/>
      <c r="E4" s="31"/>
      <c r="F4" s="31"/>
      <c r="J4" s="20"/>
    </row>
    <row r="5" spans="1:14" ht="15.75">
      <c r="A5" s="40" t="s">
        <v>58</v>
      </c>
      <c r="B5" s="41"/>
      <c r="C5" s="16" t="s">
        <v>9</v>
      </c>
      <c r="D5" s="16" t="s">
        <v>9</v>
      </c>
      <c r="E5" s="16" t="s">
        <v>9</v>
      </c>
      <c r="J5" s="20"/>
    </row>
    <row r="6" spans="1:14" ht="15.75">
      <c r="A6" s="40" t="s">
        <v>52</v>
      </c>
      <c r="B6" s="41"/>
      <c r="C6" s="16" t="s">
        <v>9</v>
      </c>
      <c r="D6" s="16" t="s">
        <v>9</v>
      </c>
      <c r="E6" s="16" t="s">
        <v>9</v>
      </c>
      <c r="J6" s="20"/>
    </row>
    <row r="7" spans="1:14" ht="15.75">
      <c r="A7" s="42" t="s">
        <v>59</v>
      </c>
      <c r="B7" s="43"/>
      <c r="C7" s="32" t="s">
        <v>60</v>
      </c>
      <c r="D7" s="32"/>
      <c r="E7" s="32"/>
      <c r="F7" s="32"/>
      <c r="G7" s="21"/>
      <c r="H7" s="21"/>
      <c r="I7" s="21"/>
      <c r="J7" s="22"/>
    </row>
    <row r="8" spans="1:14" ht="96.75" customHeight="1">
      <c r="A8" s="23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9</v>
      </c>
      <c r="C10" s="28">
        <v>42430</v>
      </c>
      <c r="D10" s="28">
        <v>42795</v>
      </c>
      <c r="E10" s="28">
        <v>43160</v>
      </c>
      <c r="F10" s="28">
        <v>43525</v>
      </c>
      <c r="G10" s="28">
        <v>43891</v>
      </c>
      <c r="H10" s="28">
        <v>44256</v>
      </c>
      <c r="I10" s="28">
        <v>44713</v>
      </c>
      <c r="J10" s="28" t="s">
        <v>9</v>
      </c>
      <c r="K10" s="28" t="s">
        <v>9</v>
      </c>
      <c r="L10" s="28" t="s">
        <v>9</v>
      </c>
      <c r="M10" s="28" t="s">
        <v>9</v>
      </c>
      <c r="N10" s="29" t="s">
        <v>9</v>
      </c>
    </row>
    <row r="11" spans="1:14" ht="15.75">
      <c r="A11" s="9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9</v>
      </c>
      <c r="K11" s="1" t="s">
        <v>9</v>
      </c>
      <c r="L11" s="1" t="s">
        <v>9</v>
      </c>
      <c r="M11" s="1" t="s">
        <v>9</v>
      </c>
      <c r="N11" s="10" t="s">
        <v>9</v>
      </c>
    </row>
    <row r="12" spans="1:14" ht="15.75">
      <c r="A12" s="9" t="s">
        <v>21</v>
      </c>
      <c r="B12" s="1" t="s">
        <v>19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9</v>
      </c>
      <c r="K12" s="1" t="s">
        <v>9</v>
      </c>
      <c r="L12" s="1" t="s">
        <v>9</v>
      </c>
      <c r="M12" s="1" t="s">
        <v>9</v>
      </c>
      <c r="N12" s="10" t="s">
        <v>9</v>
      </c>
    </row>
    <row r="13" spans="1:14" ht="15.75">
      <c r="A13" s="9" t="s">
        <v>22</v>
      </c>
      <c r="B13" s="1" t="s">
        <v>19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9</v>
      </c>
      <c r="K13" s="1" t="s">
        <v>9</v>
      </c>
      <c r="L13" s="1" t="s">
        <v>9</v>
      </c>
      <c r="M13" s="1" t="s">
        <v>9</v>
      </c>
      <c r="N13" s="10" t="s">
        <v>9</v>
      </c>
    </row>
    <row r="14" spans="1:14" ht="15.75">
      <c r="A14" s="9" t="s">
        <v>23</v>
      </c>
      <c r="B14" s="1" t="s">
        <v>19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9</v>
      </c>
      <c r="K14" s="1" t="s">
        <v>9</v>
      </c>
      <c r="L14" s="1" t="s">
        <v>9</v>
      </c>
      <c r="M14" s="1" t="s">
        <v>9</v>
      </c>
      <c r="N14" s="10" t="s">
        <v>9</v>
      </c>
    </row>
    <row r="15" spans="1:14" ht="15.75">
      <c r="A15" s="9" t="s">
        <v>24</v>
      </c>
      <c r="B15" s="1" t="s">
        <v>19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9</v>
      </c>
      <c r="K15" s="1" t="s">
        <v>9</v>
      </c>
      <c r="L15" s="1" t="s">
        <v>9</v>
      </c>
      <c r="M15" s="1" t="s">
        <v>9</v>
      </c>
      <c r="N15" s="10" t="s">
        <v>9</v>
      </c>
    </row>
    <row r="16" spans="1:14" ht="15.75">
      <c r="A16" s="9" t="s">
        <v>25</v>
      </c>
      <c r="B16" s="1" t="s">
        <v>19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9</v>
      </c>
      <c r="K16" s="1" t="s">
        <v>9</v>
      </c>
      <c r="L16" s="1" t="s">
        <v>9</v>
      </c>
      <c r="M16" s="1" t="s">
        <v>9</v>
      </c>
      <c r="N16" s="10" t="s">
        <v>9</v>
      </c>
    </row>
    <row r="17" spans="1:14" ht="15.75">
      <c r="A17" s="9" t="s">
        <v>9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0" t="s">
        <v>9</v>
      </c>
    </row>
    <row r="18" spans="1:14" ht="15.75">
      <c r="A18" s="9" t="s">
        <v>9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 t="s">
        <v>9</v>
      </c>
      <c r="N18" s="10" t="s">
        <v>9</v>
      </c>
    </row>
    <row r="19" spans="1:14" ht="15.75">
      <c r="A19" s="9" t="s">
        <v>9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9</v>
      </c>
      <c r="N19" s="10" t="s">
        <v>9</v>
      </c>
    </row>
    <row r="20" spans="1:14" ht="15.75">
      <c r="A20" s="11" t="s">
        <v>26</v>
      </c>
      <c r="B20" s="3" t="s">
        <v>9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9</v>
      </c>
      <c r="K20" s="3" t="s">
        <v>9</v>
      </c>
      <c r="L20" s="3" t="s">
        <v>9</v>
      </c>
      <c r="M20" s="3" t="s">
        <v>9</v>
      </c>
      <c r="N20" s="12" t="s">
        <v>9</v>
      </c>
    </row>
    <row r="21" spans="1:14" ht="15.75">
      <c r="A21" s="9" t="s">
        <v>27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9</v>
      </c>
      <c r="N21" s="10" t="s">
        <v>9</v>
      </c>
    </row>
    <row r="22" spans="1:14" ht="15.75">
      <c r="A22" s="13" t="s">
        <v>28</v>
      </c>
      <c r="B22" s="14" t="s">
        <v>9</v>
      </c>
      <c r="C22" s="14" t="s">
        <v>29</v>
      </c>
      <c r="D22" s="14" t="s">
        <v>29</v>
      </c>
      <c r="E22" s="14" t="s">
        <v>30</v>
      </c>
      <c r="F22" s="14" t="s">
        <v>30</v>
      </c>
      <c r="G22" s="14" t="s">
        <v>31</v>
      </c>
      <c r="H22" s="14" t="s">
        <v>31</v>
      </c>
      <c r="I22" s="14" t="s">
        <v>31</v>
      </c>
      <c r="J22" s="14" t="s">
        <v>9</v>
      </c>
      <c r="K22" s="14" t="s">
        <v>9</v>
      </c>
      <c r="L22" s="14" t="s">
        <v>9</v>
      </c>
      <c r="M22" s="14" t="s">
        <v>9</v>
      </c>
      <c r="N22" s="15" t="s">
        <v>9</v>
      </c>
    </row>
  </sheetData>
  <mergeCells count="13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  <mergeCell ref="C7:F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DD56-8419-4B0A-B96D-AC11047403A5}">
  <dimension ref="A1:G25"/>
  <sheetViews>
    <sheetView tabSelected="1" workbookViewId="0">
      <selection activeCell="D39" sqref="D39"/>
    </sheetView>
  </sheetViews>
  <sheetFormatPr defaultRowHeight="15"/>
  <cols>
    <col min="1" max="1" width="9.42578125" customWidth="1"/>
    <col min="2" max="2" width="12.42578125" customWidth="1"/>
    <col min="3" max="3" width="13.42578125" customWidth="1"/>
    <col min="4" max="4" width="21.140625" customWidth="1"/>
    <col min="5" max="5" width="22.5703125" customWidth="1"/>
    <col min="6" max="6" width="12.7109375" customWidth="1"/>
    <col min="7" max="7" width="9.28515625" customWidth="1"/>
  </cols>
  <sheetData>
    <row r="1" spans="1:7">
      <c r="A1" s="24" t="s">
        <v>61</v>
      </c>
      <c r="B1" s="24" t="s">
        <v>62</v>
      </c>
      <c r="C1" s="24" t="s">
        <v>63</v>
      </c>
      <c r="D1" s="24" t="s">
        <v>64</v>
      </c>
      <c r="E1" s="24" t="s">
        <v>65</v>
      </c>
      <c r="F1" s="24" t="s">
        <v>66</v>
      </c>
      <c r="G1" s="24" t="s">
        <v>67</v>
      </c>
    </row>
    <row r="2" spans="1:7">
      <c r="A2" s="26">
        <v>1</v>
      </c>
      <c r="B2" s="25" t="s">
        <v>68</v>
      </c>
      <c r="C2" s="27" t="s">
        <v>69</v>
      </c>
      <c r="D2" s="25" t="s">
        <v>70</v>
      </c>
      <c r="E2" s="25" t="s">
        <v>71</v>
      </c>
      <c r="F2" s="26" t="s">
        <v>72</v>
      </c>
      <c r="G2" s="30" t="s">
        <v>73</v>
      </c>
    </row>
    <row r="3" spans="1:7">
      <c r="A3" s="26">
        <f>A2+1</f>
        <v>2</v>
      </c>
      <c r="B3" s="27" t="s">
        <v>74</v>
      </c>
      <c r="C3" s="27" t="s">
        <v>75</v>
      </c>
      <c r="D3" s="25" t="s">
        <v>70</v>
      </c>
      <c r="E3" s="27" t="s">
        <v>76</v>
      </c>
      <c r="F3" s="26" t="s">
        <v>72</v>
      </c>
      <c r="G3" s="30" t="s">
        <v>73</v>
      </c>
    </row>
    <row r="4" spans="1:7">
      <c r="A4" s="26">
        <f t="shared" ref="A4:A25" si="0">A3+1</f>
        <v>3</v>
      </c>
      <c r="B4" s="27" t="s">
        <v>77</v>
      </c>
      <c r="C4" s="27" t="s">
        <v>78</v>
      </c>
      <c r="D4" s="25" t="s">
        <v>70</v>
      </c>
      <c r="E4" s="27" t="s">
        <v>79</v>
      </c>
      <c r="F4" s="26" t="s">
        <v>72</v>
      </c>
      <c r="G4" s="30" t="s">
        <v>73</v>
      </c>
    </row>
    <row r="5" spans="1:7">
      <c r="A5" s="26">
        <f t="shared" si="0"/>
        <v>4</v>
      </c>
      <c r="B5" s="27" t="s">
        <v>80</v>
      </c>
      <c r="C5" s="27" t="s">
        <v>81</v>
      </c>
      <c r="D5" s="25" t="s">
        <v>70</v>
      </c>
      <c r="E5" s="27" t="s">
        <v>82</v>
      </c>
      <c r="F5" s="26" t="s">
        <v>72</v>
      </c>
      <c r="G5" s="30" t="s">
        <v>73</v>
      </c>
    </row>
    <row r="6" spans="1:7">
      <c r="A6" s="26">
        <f t="shared" si="0"/>
        <v>5</v>
      </c>
      <c r="B6" s="27" t="s">
        <v>83</v>
      </c>
      <c r="C6" s="27" t="s">
        <v>84</v>
      </c>
      <c r="D6" s="25" t="s">
        <v>70</v>
      </c>
      <c r="E6" s="27" t="s">
        <v>85</v>
      </c>
      <c r="F6" s="26" t="s">
        <v>72</v>
      </c>
      <c r="G6" s="30" t="s">
        <v>73</v>
      </c>
    </row>
    <row r="7" spans="1:7">
      <c r="A7" s="26">
        <f t="shared" si="0"/>
        <v>6</v>
      </c>
      <c r="B7" s="27" t="s">
        <v>86</v>
      </c>
      <c r="C7" s="27" t="s">
        <v>87</v>
      </c>
      <c r="D7" s="25" t="s">
        <v>70</v>
      </c>
      <c r="E7" s="27" t="s">
        <v>88</v>
      </c>
      <c r="F7" s="26" t="s">
        <v>72</v>
      </c>
      <c r="G7" s="30" t="s">
        <v>73</v>
      </c>
    </row>
    <row r="8" spans="1:7">
      <c r="A8" s="26">
        <f t="shared" si="0"/>
        <v>7</v>
      </c>
      <c r="B8" s="27" t="s">
        <v>89</v>
      </c>
      <c r="C8" s="27" t="s">
        <v>90</v>
      </c>
      <c r="D8" s="25" t="s">
        <v>70</v>
      </c>
      <c r="E8" s="27" t="s">
        <v>91</v>
      </c>
      <c r="F8" s="26" t="s">
        <v>72</v>
      </c>
      <c r="G8" s="30" t="s">
        <v>73</v>
      </c>
    </row>
    <row r="9" spans="1:7">
      <c r="A9" s="26">
        <f t="shared" si="0"/>
        <v>8</v>
      </c>
      <c r="B9" s="27" t="s">
        <v>92</v>
      </c>
      <c r="C9" s="27" t="s">
        <v>93</v>
      </c>
      <c r="D9" s="25" t="s">
        <v>70</v>
      </c>
      <c r="E9" s="27" t="s">
        <v>94</v>
      </c>
      <c r="F9" s="26" t="s">
        <v>72</v>
      </c>
      <c r="G9" s="30" t="s">
        <v>73</v>
      </c>
    </row>
    <row r="10" spans="1:7">
      <c r="A10" s="26">
        <f t="shared" si="0"/>
        <v>9</v>
      </c>
      <c r="B10" s="27" t="s">
        <v>74</v>
      </c>
      <c r="C10" s="27" t="s">
        <v>95</v>
      </c>
      <c r="D10" s="25" t="s">
        <v>70</v>
      </c>
      <c r="E10" s="27" t="s">
        <v>96</v>
      </c>
      <c r="F10" s="26" t="s">
        <v>72</v>
      </c>
      <c r="G10" s="30" t="s">
        <v>73</v>
      </c>
    </row>
    <row r="11" spans="1:7">
      <c r="A11" s="26">
        <f t="shared" si="0"/>
        <v>10</v>
      </c>
      <c r="B11" s="27" t="s">
        <v>97</v>
      </c>
      <c r="C11" s="27" t="s">
        <v>78</v>
      </c>
      <c r="D11" s="25" t="s">
        <v>70</v>
      </c>
      <c r="E11" s="27" t="s">
        <v>98</v>
      </c>
      <c r="F11" s="26" t="s">
        <v>72</v>
      </c>
      <c r="G11" s="30" t="s">
        <v>73</v>
      </c>
    </row>
    <row r="12" spans="1:7">
      <c r="A12" s="26">
        <f t="shared" si="0"/>
        <v>11</v>
      </c>
      <c r="B12" s="27" t="s">
        <v>99</v>
      </c>
      <c r="C12" s="27" t="s">
        <v>100</v>
      </c>
      <c r="D12" s="25" t="s">
        <v>70</v>
      </c>
      <c r="E12" s="27" t="s">
        <v>101</v>
      </c>
      <c r="F12" s="26" t="s">
        <v>72</v>
      </c>
      <c r="G12" s="30" t="s">
        <v>73</v>
      </c>
    </row>
    <row r="13" spans="1:7">
      <c r="A13" s="26">
        <f t="shared" si="0"/>
        <v>12</v>
      </c>
      <c r="B13" s="27" t="s">
        <v>102</v>
      </c>
      <c r="C13" s="27" t="s">
        <v>103</v>
      </c>
      <c r="D13" s="25" t="s">
        <v>70</v>
      </c>
      <c r="E13" s="27" t="s">
        <v>104</v>
      </c>
      <c r="F13" s="26" t="s">
        <v>72</v>
      </c>
      <c r="G13" s="30" t="s">
        <v>105</v>
      </c>
    </row>
    <row r="14" spans="1:7">
      <c r="A14" s="26">
        <f t="shared" si="0"/>
        <v>13</v>
      </c>
      <c r="B14" s="27" t="s">
        <v>106</v>
      </c>
      <c r="C14" s="27" t="s">
        <v>107</v>
      </c>
      <c r="D14" s="25" t="s">
        <v>70</v>
      </c>
      <c r="E14" s="27" t="s">
        <v>108</v>
      </c>
      <c r="F14" s="26" t="s">
        <v>72</v>
      </c>
      <c r="G14" s="30" t="s">
        <v>73</v>
      </c>
    </row>
    <row r="15" spans="1:7">
      <c r="A15" s="26">
        <f t="shared" si="0"/>
        <v>14</v>
      </c>
      <c r="B15" s="27" t="s">
        <v>109</v>
      </c>
      <c r="C15" s="27" t="s">
        <v>110</v>
      </c>
      <c r="D15" s="25" t="s">
        <v>70</v>
      </c>
      <c r="E15" s="27" t="s">
        <v>111</v>
      </c>
      <c r="F15" s="26" t="s">
        <v>72</v>
      </c>
      <c r="G15" s="30" t="s">
        <v>73</v>
      </c>
    </row>
    <row r="16" spans="1:7">
      <c r="A16" s="26">
        <f t="shared" si="0"/>
        <v>15</v>
      </c>
      <c r="B16" s="27" t="s">
        <v>112</v>
      </c>
      <c r="C16" s="27" t="s">
        <v>93</v>
      </c>
      <c r="D16" s="25" t="s">
        <v>70</v>
      </c>
      <c r="E16" s="27" t="s">
        <v>113</v>
      </c>
      <c r="F16" s="26" t="s">
        <v>72</v>
      </c>
      <c r="G16" s="30" t="s">
        <v>73</v>
      </c>
    </row>
    <row r="17" spans="1:7">
      <c r="A17" s="26">
        <f t="shared" si="0"/>
        <v>16</v>
      </c>
      <c r="B17" s="27" t="s">
        <v>114</v>
      </c>
      <c r="C17" s="27" t="s">
        <v>115</v>
      </c>
      <c r="D17" s="25" t="s">
        <v>70</v>
      </c>
      <c r="E17" s="27" t="s">
        <v>116</v>
      </c>
      <c r="F17" s="26" t="s">
        <v>72</v>
      </c>
      <c r="G17" s="30" t="s">
        <v>73</v>
      </c>
    </row>
    <row r="18" spans="1:7">
      <c r="A18" s="26">
        <f t="shared" si="0"/>
        <v>17</v>
      </c>
      <c r="B18" s="27" t="s">
        <v>117</v>
      </c>
      <c r="C18" s="27" t="s">
        <v>118</v>
      </c>
      <c r="D18" s="25" t="s">
        <v>70</v>
      </c>
      <c r="E18" s="27" t="s">
        <v>119</v>
      </c>
      <c r="F18" s="26" t="s">
        <v>72</v>
      </c>
      <c r="G18" s="30" t="s">
        <v>73</v>
      </c>
    </row>
    <row r="19" spans="1:7">
      <c r="A19" s="26">
        <f t="shared" si="0"/>
        <v>18</v>
      </c>
      <c r="B19" s="27" t="s">
        <v>120</v>
      </c>
      <c r="C19" s="27" t="s">
        <v>107</v>
      </c>
      <c r="D19" s="25" t="s">
        <v>70</v>
      </c>
      <c r="E19" s="27" t="s">
        <v>121</v>
      </c>
      <c r="F19" s="26" t="s">
        <v>72</v>
      </c>
      <c r="G19" s="30" t="s">
        <v>73</v>
      </c>
    </row>
    <row r="20" spans="1:7">
      <c r="A20" s="26">
        <f t="shared" si="0"/>
        <v>19</v>
      </c>
      <c r="B20" s="27" t="s">
        <v>122</v>
      </c>
      <c r="C20" s="27" t="s">
        <v>123</v>
      </c>
      <c r="D20" s="25" t="s">
        <v>70</v>
      </c>
      <c r="E20" s="27" t="s">
        <v>124</v>
      </c>
      <c r="F20" s="26" t="s">
        <v>72</v>
      </c>
      <c r="G20" s="30" t="s">
        <v>73</v>
      </c>
    </row>
    <row r="21" spans="1:7">
      <c r="A21" s="26">
        <f t="shared" si="0"/>
        <v>20</v>
      </c>
      <c r="B21" s="27" t="s">
        <v>117</v>
      </c>
      <c r="C21" s="27" t="s">
        <v>125</v>
      </c>
      <c r="D21" s="25" t="s">
        <v>70</v>
      </c>
      <c r="E21" s="27" t="s">
        <v>126</v>
      </c>
      <c r="F21" s="26" t="s">
        <v>72</v>
      </c>
      <c r="G21" s="30" t="s">
        <v>73</v>
      </c>
    </row>
    <row r="22" spans="1:7">
      <c r="A22" s="26">
        <f t="shared" si="0"/>
        <v>21</v>
      </c>
      <c r="B22" s="27" t="s">
        <v>127</v>
      </c>
      <c r="C22" s="27" t="s">
        <v>128</v>
      </c>
      <c r="D22" s="25" t="s">
        <v>70</v>
      </c>
      <c r="E22" s="27" t="s">
        <v>129</v>
      </c>
      <c r="F22" s="26" t="s">
        <v>72</v>
      </c>
      <c r="G22" s="30" t="s">
        <v>73</v>
      </c>
    </row>
    <row r="23" spans="1:7">
      <c r="A23" s="26">
        <f t="shared" si="0"/>
        <v>22</v>
      </c>
      <c r="B23" s="27" t="s">
        <v>77</v>
      </c>
      <c r="C23" s="27" t="s">
        <v>130</v>
      </c>
      <c r="D23" s="25" t="s">
        <v>70</v>
      </c>
      <c r="E23" s="27" t="s">
        <v>131</v>
      </c>
      <c r="F23" s="26" t="s">
        <v>72</v>
      </c>
      <c r="G23" s="30" t="s">
        <v>105</v>
      </c>
    </row>
    <row r="24" spans="1:7">
      <c r="A24" s="26">
        <f t="shared" si="0"/>
        <v>23</v>
      </c>
      <c r="B24" s="27" t="s">
        <v>132</v>
      </c>
      <c r="C24" s="27" t="s">
        <v>78</v>
      </c>
      <c r="D24" s="25" t="s">
        <v>70</v>
      </c>
      <c r="E24" s="27" t="s">
        <v>133</v>
      </c>
      <c r="F24" s="26" t="s">
        <v>72</v>
      </c>
      <c r="G24" s="30" t="s">
        <v>73</v>
      </c>
    </row>
    <row r="25" spans="1:7">
      <c r="A25" s="26"/>
      <c r="D25" s="25"/>
      <c r="G25" s="30"/>
    </row>
  </sheetData>
  <conditionalFormatting sqref="E2:E24">
    <cfRule type="duplicateValues" dxfId="0" priority="1"/>
  </conditionalFormatting>
  <dataValidations count="1">
    <dataValidation type="textLength" operator="equal" allowBlank="1" showErrorMessage="1" errorTitle="Seriennummer " error="Dieses Feld darf maximal 13 Zeichen haben!" promptTitle="Seriennummer" prompt="Maximal 13 Zeichen" sqref="E2:E24" xr:uid="{4BF7073F-F03D-4260-8FCE-99DE77D0B36B}">
      <formula1>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2023-11-18T10:03:51Z</dcterms:modified>
  <cp:category/>
  <cp:contentStatus/>
</cp:coreProperties>
</file>